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Checklist" sheetId="3" state="visible" r:id="rId3"/>
    <sheet xmlns:r="http://schemas.openxmlformats.org/officeDocument/2006/relationships" name="Defe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9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40" customWidth="1" min="4" max="4"/>
  </cols>
  <sheetData>
    <row r="1">
      <c r="A1" s="1" t="inlineStr">
        <is>
          <t>Test Summary Report (incremental – formulas update from the other sheets)</t>
        </is>
      </c>
    </row>
    <row r="2">
      <c r="A2" s="2" t="inlineStr">
        <is>
          <t>HW01 – Huỳnh Thái Toàn – 23120175 – Device: Senko B813 standing fan (2014)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Target</t>
        </is>
      </c>
      <c r="D4" s="3" t="inlineStr">
        <is>
          <t>Status</t>
        </is>
      </c>
    </row>
    <row r="5">
      <c r="A5" s="4" t="inlineStr">
        <is>
          <t>Test cases designed</t>
        </is>
      </c>
      <c r="B5" s="4">
        <f>COUNTA('Test Cases'!A5:A19)</f>
        <v/>
      </c>
      <c r="C5" s="4" t="inlineStr">
        <is>
          <t>15</t>
        </is>
      </c>
      <c r="D5" s="4" t="n"/>
    </row>
    <row r="6">
      <c r="A6" s="4" t="inlineStr">
        <is>
          <t>Executed (PASS + FAIL)</t>
        </is>
      </c>
      <c r="B6" s="4">
        <f>COUNTIF('Test Cases'!H5:H19,"PASS")+COUNTIF('Test Cases'!H5:H19,"FAIL")</f>
        <v/>
      </c>
      <c r="C6" s="4" t="inlineStr">
        <is>
          <t>≥ 5</t>
        </is>
      </c>
      <c r="D6" s="4">
        <f>IF(B6&gt;=5,"OK","Needs ≥ 5 executed")</f>
        <v/>
      </c>
    </row>
    <row r="7">
      <c r="A7" s="4" t="inlineStr">
        <is>
          <t>PASS</t>
        </is>
      </c>
      <c r="B7" s="4">
        <f>COUNTIF('Test Cases'!H5:H19,"PASS")</f>
        <v/>
      </c>
      <c r="C7" s="4" t="inlineStr"/>
      <c r="D7" s="4" t="n"/>
    </row>
    <row r="8">
      <c r="A8" s="4" t="inlineStr">
        <is>
          <t>FAIL</t>
        </is>
      </c>
      <c r="B8" s="4">
        <f>COUNTIF('Test Cases'!H5:H19,"FAIL")</f>
        <v/>
      </c>
      <c r="C8" s="4" t="inlineStr"/>
      <c r="D8" s="4" t="n"/>
    </row>
    <row r="9">
      <c r="A9" s="4" t="inlineStr">
        <is>
          <t>BLOCKED</t>
        </is>
      </c>
      <c r="B9" s="4">
        <f>COUNTIF('Test Cases'!H5:H19,"BLOCKED")</f>
        <v/>
      </c>
      <c r="C9" s="4" t="inlineStr"/>
      <c r="D9" s="4" t="n"/>
    </row>
    <row r="10">
      <c r="A10" s="4" t="inlineStr">
        <is>
          <t>NOT RUN</t>
        </is>
      </c>
      <c r="B10" s="4">
        <f>COUNTIF('Test Cases'!H5:H19,"NOT RUN")</f>
        <v/>
      </c>
      <c r="C10" s="4" t="inlineStr"/>
      <c r="D10" s="4" t="n"/>
    </row>
    <row r="11">
      <c r="A11" s="4" t="inlineStr">
        <is>
          <t>Execution progress</t>
        </is>
      </c>
      <c r="B11" s="5">
        <f>IF(B5=0,0,B6/B5)</f>
        <v/>
      </c>
      <c r="C11" s="4" t="inlineStr"/>
      <c r="D11" s="4" t="n"/>
    </row>
    <row r="12">
      <c r="A12" s="4" t="inlineStr">
        <is>
          <t>Pass rate of executed tests</t>
        </is>
      </c>
      <c r="B12" s="5">
        <f>IF(B6=0,"-",B7/B6)</f>
        <v/>
      </c>
      <c r="C12" s="4" t="inlineStr"/>
      <c r="D12" s="4" t="n"/>
    </row>
    <row r="13">
      <c r="A13" s="4" t="inlineStr">
        <is>
          <t>Videos recorded</t>
        </is>
      </c>
      <c r="B13" s="4">
        <f>COUNTA('Test Cases'!L5:L19)</f>
        <v/>
      </c>
      <c r="C13" s="4" t="inlineStr">
        <is>
          <t>≥ 5</t>
        </is>
      </c>
      <c r="D13" s="4">
        <f>IF(B13&gt;=5,"OK","Needs ≥ 5 videos")</f>
        <v/>
      </c>
    </row>
    <row r="14">
      <c r="A14" s="4" t="inlineStr">
        <is>
          <t>Edge cases missed by the AI</t>
        </is>
      </c>
      <c r="B14" s="4">
        <f>COUNTIF('Test Cases'!J5:J19,"Yes*")</f>
        <v/>
      </c>
      <c r="C14" s="4" t="inlineStr">
        <is>
          <t>≥ 3</t>
        </is>
      </c>
      <c r="D14" s="4">
        <f>IF(B14&gt;=3,"OK","Needs ≥ 3")</f>
        <v/>
      </c>
    </row>
    <row r="15">
      <c r="A15" s="4" t="inlineStr">
        <is>
          <t>Defects logged</t>
        </is>
      </c>
      <c r="B15" s="4">
        <f>COUNTA(Defects!A5:A40)</f>
        <v/>
      </c>
      <c r="C15" s="4" t="inlineStr">
        <is>
          <t>aim ≥ 5</t>
        </is>
      </c>
      <c r="D15" s="4">
        <f>IF(B15&gt;=5,"Target met","Below target – do not invent defects")</f>
        <v/>
      </c>
    </row>
    <row r="16">
      <c r="A16" s="4" t="inlineStr">
        <is>
          <t>Checklist items OK</t>
        </is>
      </c>
      <c r="B16" s="4">
        <f>COUNTIF(Checklist!D5:D24,"OK")</f>
        <v/>
      </c>
      <c r="C16" s="4" t="inlineStr">
        <is>
          <t>20</t>
        </is>
      </c>
      <c r="D16" s="4" t="n"/>
    </row>
    <row r="19">
      <c r="A19" s="6" t="inlineStr">
        <is>
          <t>By technique</t>
        </is>
      </c>
    </row>
    <row r="20">
      <c r="A20" s="3" t="inlineStr">
        <is>
          <t>Technique</t>
        </is>
      </c>
      <c r="B20" s="3" t="inlineStr">
        <is>
          <t>Designed</t>
        </is>
      </c>
      <c r="C20" s="3" t="inlineStr">
        <is>
          <t>Executed</t>
        </is>
      </c>
      <c r="D20" s="3" t="inlineStr">
        <is>
          <t>PASS</t>
        </is>
      </c>
    </row>
    <row r="21">
      <c r="A21" s="4" t="inlineStr">
        <is>
          <t>BVA</t>
        </is>
      </c>
      <c r="B21" s="4">
        <f>COUNTIF('Test Cases'!I5:I19,A21)</f>
        <v/>
      </c>
      <c r="C21" s="4">
        <f>COUNTIFS('Test Cases'!I5:I19,A21,'Test Cases'!H5:H19,"PASS")+COUNTIFS('Test Cases'!I5:I19,A21,'Test Cases'!H5:H19,"FAIL")</f>
        <v/>
      </c>
      <c r="D21" s="4">
        <f>COUNTIFS('Test Cases'!I5:I19,A21,'Test Cases'!H5:H19,"PASS")</f>
        <v/>
      </c>
    </row>
    <row r="22">
      <c r="A22" s="4" t="inlineStr">
        <is>
          <t>Decision table</t>
        </is>
      </c>
      <c r="B22" s="4">
        <f>COUNTIF('Test Cases'!I5:I19,A22)</f>
        <v/>
      </c>
      <c r="C22" s="4">
        <f>COUNTIFS('Test Cases'!I5:I19,A22,'Test Cases'!H5:H19,"PASS")+COUNTIFS('Test Cases'!I5:I19,A22,'Test Cases'!H5:H19,"FAIL")</f>
        <v/>
      </c>
      <c r="D22" s="4">
        <f>COUNTIFS('Test Cases'!I5:I19,A22,'Test Cases'!H5:H19,"PASS")</f>
        <v/>
      </c>
    </row>
    <row r="23">
      <c r="A23" s="4" t="inlineStr">
        <is>
          <t>EP</t>
        </is>
      </c>
      <c r="B23" s="4">
        <f>COUNTIF('Test Cases'!I5:I19,A23)</f>
        <v/>
      </c>
      <c r="C23" s="4">
        <f>COUNTIFS('Test Cases'!I5:I19,A23,'Test Cases'!H5:H19,"PASS")+COUNTIFS('Test Cases'!I5:I19,A23,'Test Cases'!H5:H19,"FAIL")</f>
        <v/>
      </c>
      <c r="D23" s="4">
        <f>COUNTIFS('Test Cases'!I5:I19,A23,'Test Cases'!H5:H19,"PASS")</f>
        <v/>
      </c>
    </row>
    <row r="24">
      <c r="A24" s="4" t="inlineStr">
        <is>
          <t>Error guessing</t>
        </is>
      </c>
      <c r="B24" s="4">
        <f>COUNTIF('Test Cases'!I5:I19,A24)</f>
        <v/>
      </c>
      <c r="C24" s="4">
        <f>COUNTIFS('Test Cases'!I5:I19,A24,'Test Cases'!H5:H19,"PASS")+COUNTIFS('Test Cases'!I5:I19,A24,'Test Cases'!H5:H19,"FAIL")</f>
        <v/>
      </c>
      <c r="D24" s="4">
        <f>COUNTIFS('Test Cases'!I5:I19,A24,'Test Cases'!H5:H19,"PASS")</f>
        <v/>
      </c>
    </row>
    <row r="25">
      <c r="A25" s="4" t="inlineStr">
        <is>
          <t>Reliability</t>
        </is>
      </c>
      <c r="B25" s="4">
        <f>COUNTIF('Test Cases'!I5:I19,A25)</f>
        <v/>
      </c>
      <c r="C25" s="4">
        <f>COUNTIFS('Test Cases'!I5:I19,A25,'Test Cases'!H5:H19,"PASS")+COUNTIFS('Test Cases'!I5:I19,A25,'Test Cases'!H5:H19,"FAIL")</f>
        <v/>
      </c>
      <c r="D25" s="4">
        <f>COUNTIFS('Test Cases'!I5:I19,A25,'Test Cases'!H5:H19,"PASS")</f>
        <v/>
      </c>
    </row>
    <row r="26">
      <c r="A26" s="4" t="inlineStr">
        <is>
          <t>State transition</t>
        </is>
      </c>
      <c r="B26" s="4">
        <f>COUNTIF('Test Cases'!I5:I19,A26)</f>
        <v/>
      </c>
      <c r="C26" s="4">
        <f>COUNTIFS('Test Cases'!I5:I19,A26,'Test Cases'!H5:H19,"PASS")+COUNTIFS('Test Cases'!I5:I19,A26,'Test Cases'!H5:H19,"FAIL")</f>
        <v/>
      </c>
      <c r="D26" s="4">
        <f>COUNTIFS('Test Cases'!I5:I19,A26,'Test Cases'!H5:H19,"PASS")</f>
        <v/>
      </c>
    </row>
    <row r="27">
      <c r="A27" s="4" t="inlineStr">
        <is>
          <t>Usability</t>
        </is>
      </c>
      <c r="B27" s="4">
        <f>COUNTIF('Test Cases'!I5:I19,A27)</f>
        <v/>
      </c>
      <c r="C27" s="4">
        <f>COUNTIFS('Test Cases'!I5:I19,A27,'Test Cases'!H5:H19,"PASS")+COUNTIFS('Test Cases'!I5:I19,A27,'Test Cases'!H5:H19,"FAIL")</f>
        <v/>
      </c>
      <c r="D27" s="4">
        <f>COUNTIFS('Test Cases'!I5:I19,A27,'Test Cases'!H5:H19,"PASS")</f>
        <v/>
      </c>
    </row>
    <row r="29">
      <c r="A29" s="6" t="inlineStr">
        <is>
          <t>Conclusion / exit decision</t>
        </is>
      </c>
    </row>
    <row r="30">
      <c r="A30" s="7" t="inlineStr">
        <is>
          <t>[To be written after execution: which tests failed, open defects, residual risks, recommendation.]</t>
        </is>
      </c>
    </row>
  </sheetData>
  <mergeCells count="1"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24" customWidth="1" min="4" max="4"/>
    <col width="40" customWidth="1" min="5" max="5"/>
    <col width="40" customWidth="1" min="6" max="6"/>
    <col width="32" customWidth="1" min="7" max="7"/>
    <col width="11" customWidth="1" min="8" max="8"/>
    <col width="15" customWidth="1" min="9" max="9"/>
    <col width="16" customWidth="1" min="10" max="10"/>
    <col width="14" customWidth="1" min="11" max="11"/>
    <col width="26" customWidth="1" min="12" max="12"/>
    <col width="20" customWidth="1" min="13" max="13"/>
  </cols>
  <sheetData>
    <row r="1">
      <c r="A1" s="1" t="inlineStr">
        <is>
          <t>Test Cases – Senko B813 standing fan</t>
        </is>
      </c>
    </row>
    <row r="2">
      <c r="A2" s="2" t="inlineStr">
        <is>
          <t>HW01 – Huỳnh Thái Toàn – 23120175 – Device: Senko B813 standing fan (2014) – source: report section 3.5</t>
        </is>
      </c>
    </row>
    <row r="4">
      <c r="A4" s="3" t="inlineStr">
        <is>
          <t>ID</t>
        </is>
      </c>
      <c r="B4" s="3" t="inlineStr">
        <is>
          <t>Objective</t>
        </is>
      </c>
      <c r="C4" s="3" t="inlineStr">
        <is>
          <t>Preconditions</t>
        </is>
      </c>
      <c r="D4" s="3" t="inlineStr">
        <is>
          <t>Input</t>
        </is>
      </c>
      <c r="E4" s="3" t="inlineStr">
        <is>
          <t>Steps</t>
        </is>
      </c>
      <c r="F4" s="3" t="inlineStr">
        <is>
          <t>Expected result</t>
        </is>
      </c>
      <c r="G4" s="3" t="inlineStr">
        <is>
          <t>Actual result</t>
        </is>
      </c>
      <c r="H4" s="3" t="inlineStr">
        <is>
          <t>Verdict</t>
        </is>
      </c>
      <c r="I4" s="3" t="inlineStr">
        <is>
          <t>Technique</t>
        </is>
      </c>
      <c r="J4" s="3" t="inlineStr">
        <is>
          <t>Edge case (AI-missed)</t>
        </is>
      </c>
      <c r="K4" s="3" t="inlineStr">
        <is>
          <t>Executed on (dd/mm/yyyy)</t>
        </is>
      </c>
      <c r="L4" s="3" t="inlineStr">
        <is>
          <t>Video link (YouTube Unlisted)</t>
        </is>
      </c>
      <c r="M4" s="3" t="inlineStr">
        <is>
          <t>Defect ID / GitHub Issue</t>
        </is>
      </c>
    </row>
    <row r="5">
      <c r="A5" s="8" t="inlineStr">
        <is>
          <t>TC-01</t>
        </is>
      </c>
      <c r="B5" s="8" t="inlineStr">
        <is>
          <t>Controls are identifiable and labels legible</t>
        </is>
      </c>
      <c r="C5" s="8" t="inlineStr">
        <is>
          <t>Fan unplugged</t>
        </is>
      </c>
      <c r="D5" s="8" t="inlineStr">
        <is>
          <t>Visual inspection; turn the speed knob through every position</t>
        </is>
      </c>
      <c r="E5" s="8" t="inlineStr">
        <is>
          <t>1. Without the manual, identify the Off, 1, 2, 3 marks and the oscillation knob.
2. Read each mark and the knob pointer from 1 m.
3. Turn the speed knob through every position.</t>
        </is>
      </c>
      <c r="F5" s="8" t="inlineStr">
        <is>
          <t>Every position mark and the pointer are readable; each position has a distinct detent (click) so the user can feel where it stops.</t>
        </is>
      </c>
      <c r="G5" s="8" t="inlineStr">
        <is>
          <t>NOT RUN</t>
        </is>
      </c>
      <c r="H5" s="8" t="inlineStr">
        <is>
          <t>NOT RUN</t>
        </is>
      </c>
      <c r="I5" s="8" t="inlineStr">
        <is>
          <t>Usability</t>
        </is>
      </c>
      <c r="J5" s="8" t="inlineStr">
        <is>
          <t>No</t>
        </is>
      </c>
      <c r="K5" s="8" t="inlineStr"/>
      <c r="L5" s="8" t="inlineStr"/>
      <c r="M5" s="8" t="inlineStr"/>
    </row>
    <row r="6">
      <c r="A6" s="8" t="inlineStr">
        <is>
          <t>TC-02</t>
        </is>
      </c>
      <c r="B6" s="8" t="inlineStr">
        <is>
          <t>Lowest speed starts from standstill</t>
        </is>
      </c>
      <c r="C6" s="8" t="inlineStr">
        <is>
          <t>Fan plugged in, blades fully stopped for ≥ 5 min, knob at 0</t>
        </is>
      </c>
      <c r="D6" s="8" t="inlineStr">
        <is>
          <t>Knob to 1</t>
        </is>
      </c>
      <c r="E6" s="8" t="inlineStr">
        <is>
          <t>1. Turn the knob to 1.
2. Start stopwatch.
3. Stop it when blades reach steady rotation.</t>
        </is>
      </c>
      <c r="F6" s="8" t="inlineStr">
        <is>
          <t>Blades start unaided (no hand push) and reach steady rotation within 5 s. Start time recorded.</t>
        </is>
      </c>
      <c r="G6" s="8" t="inlineStr">
        <is>
          <t>NOT RUN</t>
        </is>
      </c>
      <c r="H6" s="8" t="inlineStr">
        <is>
          <t>NOT RUN</t>
        </is>
      </c>
      <c r="I6" s="8" t="inlineStr">
        <is>
          <t>BVA</t>
        </is>
      </c>
      <c r="J6" s="8" t="inlineStr">
        <is>
          <t>No</t>
        </is>
      </c>
      <c r="K6" s="8" t="inlineStr"/>
      <c r="L6" s="8" t="inlineStr"/>
      <c r="M6" s="8" t="inlineStr"/>
    </row>
    <row r="7">
      <c r="A7" s="8" t="inlineStr">
        <is>
          <t>TC-03</t>
        </is>
      </c>
      <c r="B7" s="8" t="inlineStr">
        <is>
          <t>Speeds are distinct and increasing</t>
        </is>
      </c>
      <c r="C7" s="8" t="inlineStr">
        <is>
          <t>Fan running, oscillation off, paper strip hung 1 m in front of the guard</t>
        </is>
      </c>
      <c r="D7" s="8" t="inlineStr">
        <is>
          <t>Knob at 1, 2, 3</t>
        </is>
      </c>
      <c r="E7" s="8" t="inlineStr">
        <is>
          <t>1. Run 30 s at each speed.
2. Record the strip deflection and the sound level (phone app, 1 m).
3. Repeat once.</t>
        </is>
      </c>
      <c r="F7" s="8" t="inlineStr">
        <is>
          <t>Deflection and sound level increase strictly from 1 to 2 to 3.</t>
        </is>
      </c>
      <c r="G7" s="8" t="inlineStr">
        <is>
          <t>NOT RUN</t>
        </is>
      </c>
      <c r="H7" s="8" t="inlineStr">
        <is>
          <t>NOT RUN</t>
        </is>
      </c>
      <c r="I7" s="8" t="inlineStr">
        <is>
          <t>EP</t>
        </is>
      </c>
      <c r="J7" s="8" t="inlineStr">
        <is>
          <t>No</t>
        </is>
      </c>
      <c r="K7" s="8" t="inlineStr"/>
      <c r="L7" s="8" t="inlineStr"/>
      <c r="M7" s="8" t="inlineStr"/>
    </row>
    <row r="8">
      <c r="A8" s="8" t="inlineStr">
        <is>
          <t>TC-04</t>
        </is>
      </c>
      <c r="B8" s="8" t="inlineStr">
        <is>
          <t>Speed transitions in both rotation directions</t>
        </is>
      </c>
      <c r="C8" s="8" t="inlineStr">
        <is>
          <t>Fan running at 1</t>
        </is>
      </c>
      <c r="D8" s="8" t="inlineStr">
        <is>
          <t>1→2→3, then 3→2→1; 1→3 and 3→1 in one continuous turn</t>
        </is>
      </c>
      <c r="E8" s="8" t="inlineStr">
        <is>
          <t>1. Turn step by step up, then down, pausing 10 s at each position.
2. Turn 1→3 and 3→1 in one continuous movement.
3. Observe the speed after each stop.</t>
        </is>
      </c>
      <c r="F8" s="8" t="inlineStr">
        <is>
          <t>The speed always matches the position the knob stops at, with no stop, hum or stall during the turn.</t>
        </is>
      </c>
      <c r="G8" s="8" t="inlineStr">
        <is>
          <t>NOT RUN</t>
        </is>
      </c>
      <c r="H8" s="8" t="inlineStr">
        <is>
          <t>NOT RUN</t>
        </is>
      </c>
      <c r="I8" s="8" t="inlineStr">
        <is>
          <t>State transition</t>
        </is>
      </c>
      <c r="J8" s="8" t="inlineStr">
        <is>
          <t>No</t>
        </is>
      </c>
      <c r="K8" s="8" t="inlineStr"/>
      <c r="L8" s="8" t="inlineStr"/>
      <c r="M8" s="8" t="inlineStr"/>
    </row>
    <row r="9">
      <c r="A9" s="8" t="inlineStr">
        <is>
          <t>TC-05</t>
        </is>
      </c>
      <c r="B9" s="8" t="inlineStr">
        <is>
          <t>Off from each speed and coast-down</t>
        </is>
      </c>
      <c r="C9" s="8" t="inlineStr">
        <is>
          <t>Fan running</t>
        </is>
      </c>
      <c r="D9" s="8" t="inlineStr">
        <is>
          <t>Knob to 0 from 1, 2, 3</t>
        </is>
      </c>
      <c r="E9" s="8" t="inlineStr">
        <is>
          <t>1. At each speed turn the knob to 0.
2. Time until the blades stop.</t>
        </is>
      </c>
      <c r="F9" s="8" t="inlineStr">
        <is>
          <t>The motor is de-energised as soon as the knob reaches 0; the blades coast to a stop; times recorded and longer for higher speeds.</t>
        </is>
      </c>
      <c r="G9" s="8" t="inlineStr">
        <is>
          <t>NOT RUN</t>
        </is>
      </c>
      <c r="H9" s="8" t="inlineStr">
        <is>
          <t>NOT RUN</t>
        </is>
      </c>
      <c r="I9" s="8" t="inlineStr">
        <is>
          <t>State transition</t>
        </is>
      </c>
      <c r="J9" s="8" t="inlineStr">
        <is>
          <t>No</t>
        </is>
      </c>
      <c r="K9" s="8" t="inlineStr"/>
      <c r="L9" s="8" t="inlineStr"/>
      <c r="M9" s="8" t="inlineStr"/>
    </row>
    <row r="10">
      <c r="A10" s="8" t="inlineStr">
        <is>
          <t>TC-06</t>
        </is>
      </c>
      <c r="B10" s="8" t="inlineStr">
        <is>
          <t>Knob left between two detents</t>
        </is>
      </c>
      <c r="C10" s="8" t="inlineStr">
        <is>
          <t>Fan at 0</t>
        </is>
      </c>
      <c r="D10" s="8" t="inlineStr">
        <is>
          <t>Knob stopped halfway between 0–1, 1–2, 2–3</t>
        </is>
      </c>
      <c r="E10" s="8" t="inlineStr">
        <is>
          <t>1. Turn the knob slowly and stop midway between two marks.
2. Release it and observe the knob and the motor for 10 s.</t>
        </is>
      </c>
      <c r="F10" s="8" t="inlineStr">
        <is>
          <t>The knob snaps to one of the two marked positions, or the fan runs steadily at one of the two speeds; no intermittent start/stop, hum or stall.</t>
        </is>
      </c>
      <c r="G10" s="8" t="inlineStr">
        <is>
          <t>NOT RUN</t>
        </is>
      </c>
      <c r="H10" s="8" t="inlineStr">
        <is>
          <t>NOT RUN</t>
        </is>
      </c>
      <c r="I10" s="8" t="inlineStr">
        <is>
          <t>Error guessing</t>
        </is>
      </c>
      <c r="J10" s="8" t="inlineStr">
        <is>
          <t>Yes</t>
        </is>
      </c>
      <c r="K10" s="8" t="inlineStr"/>
      <c r="L10" s="8" t="inlineStr"/>
      <c r="M10" s="8" t="inlineStr"/>
    </row>
    <row r="11">
      <c r="A11" s="8" t="inlineStr">
        <is>
          <t>TC-07</t>
        </is>
      </c>
      <c r="B11" s="8" t="inlineStr">
        <is>
          <t>Knob turned beyond its end positions</t>
        </is>
      </c>
      <c r="C11" s="8" t="inlineStr">
        <is>
          <t>Fan at 3</t>
        </is>
      </c>
      <c r="D11" s="8" t="inlineStr">
        <is>
          <t>Gentle extra turn past 3; then from 0, gentle turn backwards past 0</t>
        </is>
      </c>
      <c r="E11" s="8" t="inlineStr">
        <is>
          <t>1. At 3, keep turning gently in the same direction.
2. At 0, turn gently in the opposite direction.
3. Observe the knob and the fan.</t>
        </is>
      </c>
      <c r="F11" s="8" t="inlineStr">
        <is>
          <t>The knob behaves as marked on the panel: it either stops firmly at the end mark or moves to the next marked position. It never rests at an unmarked position, and the fan speed always matches the marked position.</t>
        </is>
      </c>
      <c r="G11" s="8" t="inlineStr">
        <is>
          <t>NOT RUN</t>
        </is>
      </c>
      <c r="H11" s="8" t="inlineStr">
        <is>
          <t>NOT RUN</t>
        </is>
      </c>
      <c r="I11" s="8" t="inlineStr">
        <is>
          <t>BVA</t>
        </is>
      </c>
      <c r="J11" s="8" t="inlineStr">
        <is>
          <t>Yes</t>
        </is>
      </c>
      <c r="K11" s="8" t="inlineStr"/>
      <c r="L11" s="8" t="inlineStr"/>
      <c r="M11" s="8" t="inlineStr"/>
    </row>
    <row r="12">
      <c r="A12" s="8" t="inlineStr">
        <is>
          <t>TC-08</t>
        </is>
      </c>
      <c r="B12" s="8" t="inlineStr">
        <is>
          <t>Oscillation on/off, sweep angle and period</t>
        </is>
      </c>
      <c r="C12" s="8" t="inlineStr">
        <is>
          <t>Fan at 2, oscillation off, tape marks on the floor for the head direction</t>
        </is>
      </c>
      <c r="D12" s="8" t="inlineStr">
        <is>
          <t>Oscillation knob</t>
        </is>
      </c>
      <c r="E12" s="8" t="inlineStr">
        <is>
          <t>1. Toggle oscillation on.
2. Time three full sweeps.
3. Mark both end positions and measure the angle.
4. Toggle off.</t>
        </is>
      </c>
      <c r="F12" s="8" t="inlineStr">
        <is>
          <t>Head sweeps smoothly and symmetrically; period consistent across the three sweeps (± 1 s); stops within one sweep after toggling off. Angle and period recorded.</t>
        </is>
      </c>
      <c r="G12" s="8" t="inlineStr">
        <is>
          <t>NOT RUN</t>
        </is>
      </c>
      <c r="H12" s="8" t="inlineStr">
        <is>
          <t>NOT RUN</t>
        </is>
      </c>
      <c r="I12" s="8" t="inlineStr">
        <is>
          <t>State transition</t>
        </is>
      </c>
      <c r="J12" s="8" t="inlineStr">
        <is>
          <t>No</t>
        </is>
      </c>
      <c r="K12" s="8" t="inlineStr"/>
      <c r="L12" s="8" t="inlineStr"/>
      <c r="M12" s="8" t="inlineStr"/>
    </row>
    <row r="13">
      <c r="A13" s="8" t="inlineStr">
        <is>
          <t>TC-09</t>
        </is>
      </c>
      <c r="B13" s="8" t="inlineStr">
        <is>
          <t>Oscillation at each speed</t>
        </is>
      </c>
      <c r="C13" s="8" t="inlineStr">
        <is>
          <t>Oscillation on</t>
        </is>
      </c>
      <c r="D13" s="8" t="inlineStr">
        <is>
          <t>1, 2, 3</t>
        </is>
      </c>
      <c r="E13" s="8" t="inlineStr">
        <is>
          <t>1. Run one full sweep at each speed.
2. Listen for clicking or grinding.</t>
        </is>
      </c>
      <c r="F13" s="8" t="inlineStr">
        <is>
          <t>Oscillation continues at every speed with no sticking, stopping or grinding noise.</t>
        </is>
      </c>
      <c r="G13" s="8" t="inlineStr">
        <is>
          <t>NOT RUN</t>
        </is>
      </c>
      <c r="H13" s="8" t="inlineStr">
        <is>
          <t>NOT RUN</t>
        </is>
      </c>
      <c r="I13" s="8" t="inlineStr">
        <is>
          <t>Decision table</t>
        </is>
      </c>
      <c r="J13" s="8" t="inlineStr">
        <is>
          <t>No</t>
        </is>
      </c>
      <c r="K13" s="8" t="inlineStr"/>
      <c r="L13" s="8" t="inlineStr"/>
      <c r="M13" s="8" t="inlineStr"/>
    </row>
    <row r="14">
      <c r="A14" s="8" t="inlineStr">
        <is>
          <t>TC-10</t>
        </is>
      </c>
      <c r="B14" s="8" t="inlineStr">
        <is>
          <t>Oscillation set while the fan is off</t>
        </is>
      </c>
      <c r="C14" s="8" t="inlineStr">
        <is>
          <t>Fan at 0, oscillation off</t>
        </is>
      </c>
      <c r="D14" s="8" t="inlineStr">
        <is>
          <t>Oscillation knob on, then speed knob to 1</t>
        </is>
      </c>
      <c r="E14" s="8" t="inlineStr">
        <is>
          <t>1. With the fan off, set oscillation on.
2. Confirm the motor does not start.
3. Turn the speed knob to 1.</t>
        </is>
      </c>
      <c r="F14" s="8" t="inlineStr">
        <is>
          <t>Changing the oscillation knob does not start the motor; after turning to 1, the fan runs and oscillates immediately.</t>
        </is>
      </c>
      <c r="G14" s="8" t="inlineStr">
        <is>
          <t>NOT RUN</t>
        </is>
      </c>
      <c r="H14" s="8" t="inlineStr">
        <is>
          <t>NOT RUN</t>
        </is>
      </c>
      <c r="I14" s="8" t="inlineStr">
        <is>
          <t>State transition</t>
        </is>
      </c>
      <c r="J14" s="8" t="inlineStr">
        <is>
          <t>Yes</t>
        </is>
      </c>
      <c r="K14" s="8" t="inlineStr"/>
      <c r="L14" s="8" t="inlineStr"/>
      <c r="M14" s="8" t="inlineStr"/>
    </row>
    <row r="15">
      <c r="A15" s="8" t="inlineStr">
        <is>
          <t>TC-11</t>
        </is>
      </c>
      <c r="B15" s="8" t="inlineStr">
        <is>
          <t>Head held or turned by hand</t>
        </is>
      </c>
      <c r="C15" s="8" t="inlineStr">
        <is>
          <t>Fan at 1, hand on the rear motor housing only (never the guard)</t>
        </is>
      </c>
      <c r="D15" s="8" t="inlineStr">
        <is>
          <t>Gentle hold for 2 s during oscillation; gentle turn with oscillation off</t>
        </is>
      </c>
      <c r="E15" s="8" t="inlineStr">
        <is>
          <t>1. With oscillation on, hold the head still for 2 s, then release.
2. With oscillation off, turn the head 20° and release.</t>
        </is>
      </c>
      <c r="F15" s="8" t="inlineStr">
        <is>
          <t>Step 1: the gear slips without grinding and oscillation resumes after release. Step 2: the head stays at the new position.</t>
        </is>
      </c>
      <c r="G15" s="8" t="inlineStr">
        <is>
          <t>NOT RUN</t>
        </is>
      </c>
      <c r="H15" s="8" t="inlineStr">
        <is>
          <t>NOT RUN</t>
        </is>
      </c>
      <c r="I15" s="8" t="inlineStr">
        <is>
          <t>Error guessing</t>
        </is>
      </c>
      <c r="J15" s="8" t="inlineStr">
        <is>
          <t>Yes</t>
        </is>
      </c>
      <c r="K15" s="8" t="inlineStr"/>
      <c r="L15" s="8" t="inlineStr"/>
      <c r="M15" s="8" t="inlineStr"/>
    </row>
    <row r="16">
      <c r="A16" s="8" t="inlineStr">
        <is>
          <t>TC-12</t>
        </is>
      </c>
      <c r="B16" s="8" t="inlineStr">
        <is>
          <t>Behaviour after power interruption</t>
        </is>
      </c>
      <c r="C16" s="8" t="inlineStr">
        <is>
          <t>Fan at 2</t>
        </is>
      </c>
      <c r="D16" s="8" t="inlineStr">
        <is>
          <t>Unplug 10 s, plug in; repeat with knob at 0</t>
        </is>
      </c>
      <c r="E16" s="8" t="inlineStr">
        <is>
          <t>1. With the knob at 2, unplug and replug.
2. Turn the knob to 0, unplug and replug.</t>
        </is>
      </c>
      <c r="F16" s="8" t="inlineStr">
        <is>
          <t>Step 1: the fan restarts at Speed 2 as soon as power returns (the knob stays at 2). Step 2: the fan stays off.</t>
        </is>
      </c>
      <c r="G16" s="8" t="inlineStr">
        <is>
          <t>NOT RUN</t>
        </is>
      </c>
      <c r="H16" s="8" t="inlineStr">
        <is>
          <t>NOT RUN</t>
        </is>
      </c>
      <c r="I16" s="8" t="inlineStr">
        <is>
          <t>Decision table</t>
        </is>
      </c>
      <c r="J16" s="8" t="inlineStr">
        <is>
          <t>Yes</t>
        </is>
      </c>
      <c r="K16" s="8" t="inlineStr"/>
      <c r="L16" s="8" t="inlineStr"/>
      <c r="M16" s="8" t="inlineStr"/>
    </row>
    <row r="17">
      <c r="A17" s="8" t="inlineStr">
        <is>
          <t>TC-13</t>
        </is>
      </c>
      <c r="B17" s="8" t="inlineStr">
        <is>
          <t>Stability at maximum load</t>
        </is>
      </c>
      <c r="C17" s="8" t="inlineStr">
        <is>
          <t>Level floor, tape around the base</t>
        </is>
      </c>
      <c r="D17" s="8" t="inlineStr">
        <is>
          <t>3 + oscillation on, 5 min</t>
        </is>
      </c>
      <c r="E17" s="8" t="inlineStr">
        <is>
          <t>1. Run for 5 min.
2. Measure any base displacement against the tape.</t>
        </is>
      </c>
      <c r="F17" s="8" t="inlineStr">
        <is>
          <t>No tipping or rocking; the base moves less than 1 cm.</t>
        </is>
      </c>
      <c r="G17" s="8" t="inlineStr">
        <is>
          <t>NOT RUN</t>
        </is>
      </c>
      <c r="H17" s="8" t="inlineStr">
        <is>
          <t>NOT RUN</t>
        </is>
      </c>
      <c r="I17" s="8" t="inlineStr">
        <is>
          <t>BVA</t>
        </is>
      </c>
      <c r="J17" s="8" t="inlineStr">
        <is>
          <t>No</t>
        </is>
      </c>
      <c r="K17" s="8" t="inlineStr"/>
      <c r="L17" s="8" t="inlineStr"/>
      <c r="M17" s="8" t="inlineStr"/>
    </row>
    <row r="18">
      <c r="A18" s="8" t="inlineStr">
        <is>
          <t>TC-14</t>
        </is>
      </c>
      <c r="B18" s="8" t="inlineStr">
        <is>
          <t>Finger cannot reach the blades</t>
        </is>
      </c>
      <c r="C18" s="8" t="inlineStr">
        <is>
          <t>Fan unplugged, blades stopped</t>
        </is>
      </c>
      <c r="D18" s="8" t="inlineStr">
        <is>
          <t>Ruler; finger test at the front and rear guard</t>
        </is>
      </c>
      <c r="E18" s="8" t="inlineStr">
        <is>
          <t>1. Measure the largest gap in the front and rear guard.
2. Try to touch a blade with a fingertip through the gap.
3. Pull the guard clips gently by hand.</t>
        </is>
      </c>
      <c r="F18" s="8" t="inlineStr">
        <is>
          <t>A fingertip cannot reach a blade; the guard stays closed when pulled by hand.</t>
        </is>
      </c>
      <c r="G18" s="8" t="inlineStr">
        <is>
          <t>NOT RUN</t>
        </is>
      </c>
      <c r="H18" s="8" t="inlineStr">
        <is>
          <t>NOT RUN</t>
        </is>
      </c>
      <c r="I18" s="8" t="inlineStr">
        <is>
          <t>Error guessing</t>
        </is>
      </c>
      <c r="J18" s="8" t="inlineStr">
        <is>
          <t>No (AI TC14 is visual only)</t>
        </is>
      </c>
      <c r="K18" s="8" t="inlineStr"/>
      <c r="L18" s="8" t="inlineStr"/>
      <c r="M18" s="8" t="inlineStr"/>
    </row>
    <row r="19">
      <c r="A19" s="8" t="inlineStr">
        <is>
          <t>TC-15</t>
        </is>
      </c>
      <c r="B19" s="8" t="inlineStr">
        <is>
          <t>Endurance for 60 min</t>
        </is>
      </c>
      <c r="C19" s="8" t="inlineStr">
        <is>
          <t>Clear area, room temperature recorded</t>
        </is>
      </c>
      <c r="D19" s="8" t="inlineStr">
        <is>
          <t>3 + oscillation on, 60 min</t>
        </is>
      </c>
      <c r="E19" s="8" t="inlineStr">
        <is>
          <t>1. Run 60 min.
2. At 0, 30 and 60 min record speed, oscillation, noise, and whether the motor housing and cord can be touched comfortably.</t>
        </is>
      </c>
      <c r="F19" s="8" t="inlineStr">
        <is>
          <t>Continuous operation and oscillation; no burning smell or smoke; housing and cord warm but comfortable to touch; noise level stable.</t>
        </is>
      </c>
      <c r="G19" s="8" t="inlineStr">
        <is>
          <t>NOT RUN</t>
        </is>
      </c>
      <c r="H19" s="8" t="inlineStr">
        <is>
          <t>NOT RUN</t>
        </is>
      </c>
      <c r="I19" s="8" t="inlineStr">
        <is>
          <t>Reliability</t>
        </is>
      </c>
      <c r="J19" s="8" t="inlineStr">
        <is>
          <t>No</t>
        </is>
      </c>
      <c r="K19" s="8" t="inlineStr"/>
      <c r="L19" s="8" t="inlineStr"/>
      <c r="M19" s="8" t="inlineStr"/>
    </row>
  </sheetData>
  <conditionalFormatting sqref="H5:H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"NOT RUN"</formula>
    </cfRule>
  </conditionalFormatting>
  <dataValidations count="1">
    <dataValidation sqref="H5:H19" showDropDown="0" showInputMessage="0" showErrorMessage="0" allowBlank="0" type="list">
      <formula1>"PASS,FAIL,BLOCKED,NOT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62" customWidth="1" min="3" max="3"/>
    <col width="12" customWidth="1" min="4" max="4"/>
    <col width="13" customWidth="1" min="5" max="5"/>
    <col width="40" customWidth="1" min="6" max="6"/>
  </cols>
  <sheetData>
    <row r="1">
      <c r="A1" s="1" t="inlineStr">
        <is>
          <t>Checklist – before and during execution (checklist-based testing, ISTQB CTFL v4.0.1 §4.4.3)</t>
        </is>
      </c>
    </row>
    <row r="2">
      <c r="A2" s="2" t="inlineStr">
        <is>
          <t>HW01 – Huỳnh Thái Toàn – 23120175 – Device: Senko B813 standing fan (2014)</t>
        </is>
      </c>
    </row>
    <row r="4">
      <c r="A4" s="3" t="inlineStr">
        <is>
          <t>#</t>
        </is>
      </c>
      <c r="B4" s="3" t="inlineStr">
        <is>
          <t>Area</t>
        </is>
      </c>
      <c r="C4" s="3" t="inlineStr">
        <is>
          <t>Check item</t>
        </is>
      </c>
      <c r="D4" s="3" t="inlineStr">
        <is>
          <t>Status</t>
        </is>
      </c>
      <c r="E4" s="3" t="inlineStr">
        <is>
          <t>Checked on</t>
        </is>
      </c>
      <c r="F4" s="3" t="inlineStr">
        <is>
          <t>Notes / evidence</t>
        </is>
      </c>
    </row>
    <row r="5">
      <c r="A5" s="8" t="n">
        <v>1</v>
      </c>
      <c r="B5" s="8" t="inlineStr">
        <is>
          <t>Safety</t>
        </is>
      </c>
      <c r="C5" s="8" t="inlineStr">
        <is>
          <t>Power cord and plug have no cuts, exposed wire or burn marks</t>
        </is>
      </c>
      <c r="D5" s="8" t="inlineStr">
        <is>
          <t>NOT CHECKED</t>
        </is>
      </c>
      <c r="E5" s="8" t="inlineStr"/>
      <c r="F5" s="8" t="inlineStr"/>
    </row>
    <row r="6">
      <c r="A6" s="8" t="n">
        <v>2</v>
      </c>
      <c r="B6" s="8" t="inlineStr">
        <is>
          <t>Safety</t>
        </is>
      </c>
      <c r="C6" s="8" t="inlineStr">
        <is>
          <t>Front and rear guards are closed and all clips are engaged</t>
        </is>
      </c>
      <c r="D6" s="8" t="inlineStr">
        <is>
          <t>NOT CHECKED</t>
        </is>
      </c>
      <c r="E6" s="8" t="inlineStr"/>
      <c r="F6" s="8" t="inlineStr"/>
    </row>
    <row r="7">
      <c r="A7" s="8" t="n">
        <v>3</v>
      </c>
      <c r="B7" s="8" t="inlineStr">
        <is>
          <t>Safety</t>
        </is>
      </c>
      <c r="C7" s="8" t="inlineStr">
        <is>
          <t>Blades have no cracks or missing parts</t>
        </is>
      </c>
      <c r="D7" s="8" t="inlineStr">
        <is>
          <t>NOT CHECKED</t>
        </is>
      </c>
      <c r="E7" s="8" t="inlineStr"/>
      <c r="F7" s="8" t="inlineStr"/>
    </row>
    <row r="8">
      <c r="A8" s="8" t="n">
        <v>4</v>
      </c>
      <c r="B8" s="8" t="inlineStr">
        <is>
          <t>Safety</t>
        </is>
      </c>
      <c r="C8" s="8" t="inlineStr">
        <is>
          <t>Fan stands on a level, dry floor with at least 1 m clear around it</t>
        </is>
      </c>
      <c r="D8" s="8" t="inlineStr">
        <is>
          <t>NOT CHECKED</t>
        </is>
      </c>
      <c r="E8" s="8" t="inlineStr"/>
      <c r="F8" s="8" t="inlineStr"/>
    </row>
    <row r="9">
      <c r="A9" s="8" t="n">
        <v>5</v>
      </c>
      <c r="B9" s="8" t="inlineStr">
        <is>
          <t>Safety</t>
        </is>
      </c>
      <c r="C9" s="8" t="inlineStr">
        <is>
          <t>Tests on the guard (TC-14) are done with the fan unplugged</t>
        </is>
      </c>
      <c r="D9" s="8" t="inlineStr">
        <is>
          <t>NOT CHECKED</t>
        </is>
      </c>
      <c r="E9" s="8" t="inlineStr"/>
      <c r="F9" s="8" t="inlineStr"/>
    </row>
    <row r="10">
      <c r="A10" s="8" t="n">
        <v>6</v>
      </c>
      <c r="B10" s="8" t="inlineStr">
        <is>
          <t>Safety</t>
        </is>
      </c>
      <c r="C10" s="8" t="inlineStr">
        <is>
          <t>Hand touches only the rear motor housing, never the guard, while running (TC-11)</t>
        </is>
      </c>
      <c r="D10" s="8" t="inlineStr">
        <is>
          <t>NOT CHECKED</t>
        </is>
      </c>
      <c r="E10" s="8" t="inlineStr"/>
      <c r="F10" s="8" t="inlineStr"/>
    </row>
    <row r="11">
      <c r="A11" s="8" t="n">
        <v>7</v>
      </c>
      <c r="B11" s="8" t="inlineStr">
        <is>
          <t>Setup</t>
        </is>
      </c>
      <c r="C11" s="8" t="inlineStr">
        <is>
          <t>Speed knob starts at 0 and oscillation is off before each test</t>
        </is>
      </c>
      <c r="D11" s="8" t="inlineStr">
        <is>
          <t>NOT CHECKED</t>
        </is>
      </c>
      <c r="E11" s="8" t="inlineStr"/>
      <c r="F11" s="8" t="inlineStr"/>
    </row>
    <row r="12">
      <c r="A12" s="8" t="n">
        <v>8</v>
      </c>
      <c r="B12" s="8" t="inlineStr">
        <is>
          <t>Setup</t>
        </is>
      </c>
      <c r="C12" s="8" t="inlineStr">
        <is>
          <t>Blades have been stopped for at least 5 min before TC-02</t>
        </is>
      </c>
      <c r="D12" s="8" t="inlineStr">
        <is>
          <t>NOT CHECKED</t>
        </is>
      </c>
      <c r="E12" s="8" t="inlineStr"/>
      <c r="F12" s="8" t="inlineStr"/>
    </row>
    <row r="13">
      <c r="A13" s="8" t="n">
        <v>9</v>
      </c>
      <c r="B13" s="8" t="inlineStr">
        <is>
          <t>Setup</t>
        </is>
      </c>
      <c r="C13" s="8" t="inlineStr">
        <is>
          <t>Room temperature recorded before TC-15</t>
        </is>
      </c>
      <c r="D13" s="8" t="inlineStr">
        <is>
          <t>NOT CHECKED</t>
        </is>
      </c>
      <c r="E13" s="8" t="inlineStr"/>
      <c r="F13" s="8" t="inlineStr"/>
    </row>
    <row r="14">
      <c r="A14" s="8" t="n">
        <v>10</v>
      </c>
      <c r="B14" s="8" t="inlineStr">
        <is>
          <t>Tools</t>
        </is>
      </c>
      <c r="C14" s="8" t="inlineStr">
        <is>
          <t>Stopwatch ready (phone)</t>
        </is>
      </c>
      <c r="D14" s="8" t="inlineStr">
        <is>
          <t>NOT CHECKED</t>
        </is>
      </c>
      <c r="E14" s="8" t="inlineStr"/>
      <c r="F14" s="8" t="inlineStr"/>
    </row>
    <row r="15">
      <c r="A15" s="8" t="n">
        <v>11</v>
      </c>
      <c r="B15" s="8" t="inlineStr">
        <is>
          <t>Tools</t>
        </is>
      </c>
      <c r="C15" s="8" t="inlineStr">
        <is>
          <t>Sound level meter app ready; phone placed 1 m in front of the guard</t>
        </is>
      </c>
      <c r="D15" s="8" t="inlineStr">
        <is>
          <t>NOT CHECKED</t>
        </is>
      </c>
      <c r="E15" s="8" t="inlineStr"/>
      <c r="F15" s="8" t="inlineStr"/>
    </row>
    <row r="16">
      <c r="A16" s="8" t="n">
        <v>12</v>
      </c>
      <c r="B16" s="8" t="inlineStr">
        <is>
          <t>Tools</t>
        </is>
      </c>
      <c r="C16" s="8" t="inlineStr">
        <is>
          <t>Paper strip hung 1 m in front of the guard (TC-03)</t>
        </is>
      </c>
      <c r="D16" s="8" t="inlineStr">
        <is>
          <t>NOT CHECKED</t>
        </is>
      </c>
      <c r="E16" s="8" t="inlineStr"/>
      <c r="F16" s="8" t="inlineStr"/>
    </row>
    <row r="17">
      <c r="A17" s="8" t="n">
        <v>13</v>
      </c>
      <c r="B17" s="8" t="inlineStr">
        <is>
          <t>Tools</t>
        </is>
      </c>
      <c r="C17" s="8" t="inlineStr">
        <is>
          <t>Tape marks on the floor around the base and for head end positions (TC-08, TC-13)</t>
        </is>
      </c>
      <c r="D17" s="8" t="inlineStr">
        <is>
          <t>NOT CHECKED</t>
        </is>
      </c>
      <c r="E17" s="8" t="inlineStr"/>
      <c r="F17" s="8" t="inlineStr"/>
    </row>
    <row r="18">
      <c r="A18" s="8" t="n">
        <v>14</v>
      </c>
      <c r="B18" s="8" t="inlineStr">
        <is>
          <t>Tools</t>
        </is>
      </c>
      <c r="C18" s="8" t="inlineStr">
        <is>
          <t>Ruler / tape measure (TC-08 angle, TC-13 displacement, TC-14 guard gaps)</t>
        </is>
      </c>
      <c r="D18" s="8" t="inlineStr">
        <is>
          <t>NOT CHECKED</t>
        </is>
      </c>
      <c r="E18" s="8" t="inlineStr"/>
      <c r="F18" s="8" t="inlineStr"/>
    </row>
    <row r="19">
      <c r="A19" s="8" t="n">
        <v>15</v>
      </c>
      <c r="B19" s="8" t="inlineStr">
        <is>
          <t>Evidence</t>
        </is>
      </c>
      <c r="C19" s="8" t="inlineStr">
        <is>
          <t>Camera recording, clip ≤ 60 s, with my own voice narration</t>
        </is>
      </c>
      <c r="D19" s="8" t="inlineStr">
        <is>
          <t>NOT CHECKED</t>
        </is>
      </c>
      <c r="E19" s="8" t="inlineStr"/>
      <c r="F19" s="8" t="inlineStr"/>
    </row>
    <row r="20">
      <c r="A20" s="8" t="n">
        <v>16</v>
      </c>
      <c r="B20" s="8" t="inlineStr">
        <is>
          <t>Evidence</t>
        </is>
      </c>
      <c r="C20" s="8" t="inlineStr">
        <is>
          <t>Device model label and date visible at the start of each video</t>
        </is>
      </c>
      <c r="D20" s="8" t="inlineStr">
        <is>
          <t>NOT CHECKED</t>
        </is>
      </c>
      <c r="E20" s="8" t="inlineStr"/>
      <c r="F20" s="8" t="inlineStr"/>
    </row>
    <row r="21">
      <c r="A21" s="8" t="n">
        <v>17</v>
      </c>
      <c r="B21" s="8" t="inlineStr">
        <is>
          <t>Evidence</t>
        </is>
      </c>
      <c r="C21" s="8" t="inlineStr">
        <is>
          <t>Video uploaded to YouTube as Unlisted and link copied into Test Cases</t>
        </is>
      </c>
      <c r="D21" s="8" t="inlineStr">
        <is>
          <t>NOT CHECKED</t>
        </is>
      </c>
      <c r="E21" s="8" t="inlineStr"/>
      <c r="F21" s="8" t="inlineStr"/>
    </row>
    <row r="22">
      <c r="A22" s="8" t="n">
        <v>18</v>
      </c>
      <c r="B22" s="8" t="inlineStr">
        <is>
          <t>Evidence</t>
        </is>
      </c>
      <c r="C22" s="8" t="inlineStr">
        <is>
          <t>Every FAIL has a GitHub Issue with steps, expected, actual, severity and evidence</t>
        </is>
      </c>
      <c r="D22" s="8" t="inlineStr">
        <is>
          <t>NOT CHECKED</t>
        </is>
      </c>
      <c r="E22" s="8" t="inlineStr"/>
      <c r="F22" s="8" t="inlineStr"/>
    </row>
    <row r="23">
      <c r="A23" s="8" t="n">
        <v>19</v>
      </c>
      <c r="B23" s="8" t="inlineStr">
        <is>
          <t>Evidence</t>
        </is>
      </c>
      <c r="C23" s="8" t="inlineStr">
        <is>
          <t>Actual result and Verdict written right after each run (no reconstruction later)</t>
        </is>
      </c>
      <c r="D23" s="8" t="inlineStr">
        <is>
          <t>NOT CHECKED</t>
        </is>
      </c>
      <c r="E23" s="8" t="inlineStr"/>
      <c r="F23" s="8" t="inlineStr"/>
    </row>
    <row r="24">
      <c r="A24" s="8" t="n">
        <v>20</v>
      </c>
      <c r="B24" s="8" t="inlineStr">
        <is>
          <t>Usability</t>
        </is>
      </c>
      <c r="C24" s="8" t="inlineStr">
        <is>
          <t>Speed marks 0/1/2/3 and oscillation label readable from 1 m (TC-01)</t>
        </is>
      </c>
      <c r="D24" s="8" t="inlineStr">
        <is>
          <t>NOT CHECKED</t>
        </is>
      </c>
      <c r="E24" s="8" t="inlineStr"/>
      <c r="F24" s="8" t="inlineStr"/>
    </row>
  </sheetData>
  <dataValidations count="1">
    <dataValidation sqref="D5:D24" showDropDown="0" showInputMessage="0" showErrorMessage="0" allowBlank="0" type="list">
      <formula1>"OK,NOT OK,N/A,NOT CHECKED"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40" customWidth="1" min="4" max="4"/>
    <col width="30" customWidth="1" min="5" max="5"/>
    <col width="30" customWidth="1" min="6" max="6"/>
    <col width="10" customWidth="1" min="7" max="7"/>
    <col width="22" customWidth="1" min="8" max="8"/>
    <col width="26" customWidth="1" min="9" max="9"/>
    <col width="26" customWidth="1" min="10" max="10"/>
    <col width="10" customWidth="1" min="11" max="11"/>
  </cols>
  <sheetData>
    <row r="1">
      <c r="A1" s="1" t="inlineStr">
        <is>
          <t>Defect log – mirrored from GitHub Issues</t>
        </is>
      </c>
    </row>
    <row r="2">
      <c r="A2" s="2" t="inlineStr">
        <is>
          <t>HW01 – Huỳnh Thái Toàn – 23120175 – Device: Senko B813 standing fan (2014)</t>
        </is>
      </c>
    </row>
    <row r="4">
      <c r="A4" s="3" t="inlineStr">
        <is>
          <t>Defect ID</t>
        </is>
      </c>
      <c r="B4" s="3" t="inlineStr">
        <is>
          <t>TC</t>
        </is>
      </c>
      <c r="C4" s="3" t="inlineStr">
        <is>
          <t>Summary</t>
        </is>
      </c>
      <c r="D4" s="3" t="inlineStr">
        <is>
          <t>Steps to reproduce</t>
        </is>
      </c>
      <c r="E4" s="3" t="inlineStr">
        <is>
          <t>Expected</t>
        </is>
      </c>
      <c r="F4" s="3" t="inlineStr">
        <is>
          <t>Actual</t>
        </is>
      </c>
      <c r="G4" s="3" t="inlineStr">
        <is>
          <t>Severity</t>
        </is>
      </c>
      <c r="H4" s="3" t="inlineStr">
        <is>
          <t>Environment</t>
        </is>
      </c>
      <c r="I4" s="3" t="inlineStr">
        <is>
          <t>Evidence (video / photo)</t>
        </is>
      </c>
      <c r="J4" s="3" t="inlineStr">
        <is>
          <t>GitHub Issue link</t>
        </is>
      </c>
      <c r="K4" s="3" t="inlineStr">
        <is>
          <t>Status</t>
        </is>
      </c>
    </row>
  </sheetData>
  <dataValidations count="1">
    <dataValidation sqref="G5:G4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2026-09-26T17:01:49Z</dcterms:created>
  <dcterms:modified xmlns:dcterms="http://purl.org/dc/terms/" xmlns:xsi="http://www.w3.org/2001/XMLSchema-instance" xsi:type="dcterms:W3CDTF">2026-09-26T17:01:49Z</dcterms:modified>
</cp:coreProperties>
</file>